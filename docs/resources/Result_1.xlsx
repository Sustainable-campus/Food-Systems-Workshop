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jm\Desktop\"/>
    </mc:Choice>
  </mc:AlternateContent>
  <xr:revisionPtr revIDLastSave="0" documentId="13_ncr:1_{9F5FDB2C-7419-4DCE-931D-1BB77380A761}" xr6:coauthVersionLast="47" xr6:coauthVersionMax="47" xr10:uidLastSave="{00000000-0000-0000-0000-000000000000}"/>
  <bookViews>
    <workbookView xWindow="-108" yWindow="-108" windowWidth="23256" windowHeight="12456" xr2:uid="{3562476A-49D4-40F5-8A88-B2C252F706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3" i="1"/>
  <c r="H12" i="1"/>
  <c r="H11" i="1"/>
  <c r="H10" i="1"/>
  <c r="H9" i="1"/>
  <c r="H8" i="1"/>
  <c r="H7" i="1"/>
  <c r="H6" i="1"/>
  <c r="H5" i="1"/>
  <c r="H4" i="1"/>
  <c r="H3" i="1"/>
  <c r="H2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tc={D211B58A-503B-49B1-972C-2342E9E69861}</author>
    <author>tc={5E680005-E217-4E04-9C91-4F8F0094A14C}</author>
  </authors>
  <commentList>
    <comment ref="G5" authorId="0" shapeId="0" xr:uid="{D211B58A-503B-49B1-972C-2342E9E69861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 Idea = 0</t>
      </text>
    </comment>
    <comment ref="G14" authorId="1" shapeId="0" xr:uid="{5E680005-E217-4E04-9C91-4F8F0094A14C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 idea = 0</t>
      </text>
    </comment>
  </commentList>
</comments>
</file>

<file path=xl/sharedStrings.xml><?xml version="1.0" encoding="utf-8"?>
<sst xmlns="http://schemas.openxmlformats.org/spreadsheetml/2006/main" count="81" uniqueCount="69">
  <si>
    <t>Food on Campus</t>
  </si>
  <si>
    <r>
      <t>1.</t>
    </r>
    <r>
      <rPr>
        <sz val="4"/>
        <color rgb="FF000000"/>
        <rFont val="Arial"/>
        <family val="2"/>
      </rPr>
      <t xml:space="preserve">  </t>
    </r>
    <r>
      <rPr>
        <sz val="11"/>
        <color rgb="FF000000"/>
        <rFont val="Arial"/>
        <family val="2"/>
      </rPr>
      <t>Enough vegetarian and vegan options?</t>
    </r>
  </si>
  <si>
    <r>
      <t>2.</t>
    </r>
    <r>
      <rPr>
        <sz val="4"/>
        <color rgb="FF000000"/>
        <rFont val="Arial"/>
        <family val="2"/>
      </rPr>
      <t xml:space="preserve">  </t>
    </r>
    <r>
      <rPr>
        <sz val="11"/>
        <color rgb="FF000000"/>
        <rFont val="Arial"/>
        <family val="2"/>
      </rPr>
      <t>Healthy vs fast food challenge?</t>
    </r>
  </si>
  <si>
    <r>
      <t>3.</t>
    </r>
    <r>
      <rPr>
        <sz val="4"/>
        <color rgb="FF000000"/>
        <rFont val="Arial"/>
        <family val="2"/>
      </rPr>
      <t xml:space="preserve">  </t>
    </r>
    <r>
      <rPr>
        <sz val="11"/>
        <color rgb="FF000000"/>
        <rFont val="Arial"/>
        <family val="2"/>
      </rPr>
      <t>Cultural diversity of food?</t>
    </r>
  </si>
  <si>
    <r>
      <t>1.</t>
    </r>
    <r>
      <rPr>
        <sz val="4"/>
        <color rgb="FF000000"/>
        <rFont val="Arial"/>
        <family val="2"/>
      </rPr>
      <t xml:space="preserve">  </t>
    </r>
    <r>
      <rPr>
        <sz val="11"/>
        <color rgb="FF000000"/>
        <rFont val="Arial"/>
        <family val="2"/>
      </rPr>
      <t>Where do you see the biggest food waste problem on campus?</t>
    </r>
  </si>
  <si>
    <r>
      <t>2.</t>
    </r>
    <r>
      <rPr>
        <sz val="4"/>
        <color rgb="FF000000"/>
        <rFont val="Arial"/>
        <family val="2"/>
      </rPr>
      <t xml:space="preserve">  </t>
    </r>
    <r>
      <rPr>
        <sz val="11"/>
        <color rgb="FF000000"/>
        <rFont val="Arial"/>
        <family val="2"/>
      </rPr>
      <t>Do portion sizes lead to a lot of leftovers or waste?</t>
    </r>
  </si>
  <si>
    <r>
      <t>3.</t>
    </r>
    <r>
      <rPr>
        <sz val="4"/>
        <color rgb="FF000000"/>
        <rFont val="Arial"/>
        <family val="2"/>
      </rPr>
      <t xml:space="preserve">  </t>
    </r>
    <r>
      <rPr>
        <sz val="11"/>
        <color rgb="FF000000"/>
        <rFont val="Arial"/>
        <family val="2"/>
      </rPr>
      <t>Do you consider the climate impact when choosing your meals? Why or why not?</t>
    </r>
  </si>
  <si>
    <r>
      <t>1.</t>
    </r>
    <r>
      <rPr>
        <sz val="4"/>
        <color rgb="FF000000"/>
        <rFont val="Arial"/>
        <family val="2"/>
      </rPr>
      <t xml:space="preserve">  </t>
    </r>
    <r>
      <rPr>
        <sz val="11"/>
        <color rgb="FF000000"/>
        <rFont val="Arial"/>
        <family val="2"/>
      </rPr>
      <t>Do students have enough opportunities to learn about food production outside the classroom (e.g. events, visits, projects)?</t>
    </r>
  </si>
  <si>
    <r>
      <t>2.</t>
    </r>
    <r>
      <rPr>
        <sz val="4"/>
        <color rgb="FF000000"/>
        <rFont val="Arial"/>
        <family val="2"/>
      </rPr>
      <t xml:space="preserve">  </t>
    </r>
    <r>
      <rPr>
        <sz val="11"/>
        <color rgb="FF000000"/>
        <rFont val="Arial"/>
        <family val="2"/>
      </rPr>
      <t>Which information about campus food production is missing or unclear for students?</t>
    </r>
  </si>
  <si>
    <r>
      <t>1.</t>
    </r>
    <r>
      <rPr>
        <sz val="4"/>
        <color rgb="FF000000"/>
        <rFont val="Arial"/>
        <family val="2"/>
      </rPr>
      <t xml:space="preserve">  </t>
    </r>
    <r>
      <rPr>
        <sz val="11"/>
        <color rgb="FF000000"/>
        <rFont val="Arial"/>
        <family val="2"/>
      </rPr>
      <t>Do students know where their food comes from?</t>
    </r>
  </si>
  <si>
    <r>
      <t>2.</t>
    </r>
    <r>
      <rPr>
        <sz val="4"/>
        <color rgb="FF000000"/>
        <rFont val="Arial"/>
        <family val="2"/>
      </rPr>
      <t xml:space="preserve">  </t>
    </r>
    <r>
      <rPr>
        <sz val="11"/>
        <color rgb="FF000000"/>
        <rFont val="Arial"/>
        <family val="2"/>
      </rPr>
      <t>Is local food perceived as affordable and relevant for students?</t>
    </r>
  </si>
  <si>
    <r>
      <t>3.</t>
    </r>
    <r>
      <rPr>
        <sz val="4"/>
        <color rgb="FF000000"/>
        <rFont val="Arial"/>
        <family val="2"/>
      </rPr>
      <t xml:space="preserve">  </t>
    </r>
    <r>
      <rPr>
        <sz val="11"/>
        <color rgb="FF000000"/>
        <rFont val="Arial"/>
        <family val="2"/>
      </rPr>
      <t>Do students see their food choices as supporting the local economy and environment?</t>
    </r>
  </si>
  <si>
    <r>
      <t>1.</t>
    </r>
    <r>
      <rPr>
        <sz val="4"/>
        <color rgb="FF000000"/>
        <rFont val="Arial"/>
        <family val="2"/>
      </rPr>
      <t xml:space="preserve">  </t>
    </r>
    <r>
      <rPr>
        <sz val="11"/>
        <color rgb="FF000000"/>
        <rFont val="Arial"/>
        <family val="2"/>
      </rPr>
      <t>Do students currently have real influence on food related decisions on campus? Why or why not?</t>
    </r>
  </si>
  <si>
    <r>
      <t>2.</t>
    </r>
    <r>
      <rPr>
        <sz val="4"/>
        <color rgb="FF000000"/>
        <rFont val="Arial"/>
        <family val="2"/>
      </rPr>
      <t xml:space="preserve">  </t>
    </r>
    <r>
      <rPr>
        <sz val="11"/>
        <color rgb="FF000000"/>
        <rFont val="Arial"/>
        <family val="2"/>
      </rPr>
      <t>What supports or structures are missing for students to contribute to real change?</t>
    </r>
  </si>
  <si>
    <t>Challenge</t>
  </si>
  <si>
    <t>Solution</t>
  </si>
  <si>
    <t>Comment</t>
  </si>
  <si>
    <t>No info</t>
  </si>
  <si>
    <t>Yes</t>
  </si>
  <si>
    <t>Mensa</t>
  </si>
  <si>
    <t>No</t>
  </si>
  <si>
    <t>Not enough vegan</t>
  </si>
  <si>
    <t>Moe for relevant studies</t>
  </si>
  <si>
    <t>Not clear info</t>
  </si>
  <si>
    <t>It is expensive</t>
  </si>
  <si>
    <t>No, students are not included</t>
  </si>
  <si>
    <t>No place for feedback/opinion of students</t>
  </si>
  <si>
    <t>Using less oil</t>
  </si>
  <si>
    <t>Add an international day per week</t>
  </si>
  <si>
    <t>Offering different portion sizes</t>
  </si>
  <si>
    <t>Providing more info</t>
  </si>
  <si>
    <t>Connections with farmers + clear information</t>
  </si>
  <si>
    <t>Give information about local food</t>
  </si>
  <si>
    <t>Category</t>
  </si>
  <si>
    <t>Local Food</t>
  </si>
  <si>
    <t>Campus System</t>
  </si>
  <si>
    <t>Student Agency</t>
  </si>
  <si>
    <t xml:space="preserve">Food Quality </t>
  </si>
  <si>
    <t>1.00 → Full consensus</t>
  </si>
  <si>
    <t>0.67 → Moderate consensus</t>
  </si>
  <si>
    <t>Question</t>
  </si>
  <si>
    <t>Challenge Consensus Score</t>
  </si>
  <si>
    <t>Solution Consensus Score</t>
  </si>
  <si>
    <t>Challenge high (1.0) + Solution high (1.0)</t>
  </si>
  <si>
    <t>→ Strong transformation readiness</t>
  </si>
  <si>
    <t>Challenge high + Solution low</t>
  </si>
  <si>
    <t>→ Problem recognized but no clear strategy</t>
  </si>
  <si>
    <t>Challenge low + Solution high</t>
  </si>
  <si>
    <t>→ Idea-driven but not urgent</t>
  </si>
  <si>
    <t>0 → No consensus - Different ideas</t>
  </si>
  <si>
    <t>Cultural diversity of the menu</t>
  </si>
  <si>
    <t>Transparency of meal carbon footprint</t>
  </si>
  <si>
    <t>Availability of vegan dishes</t>
  </si>
  <si>
    <t>More vegan options for side dishes</t>
  </si>
  <si>
    <t>Health &amp; oil content of meals</t>
  </si>
  <si>
    <t>Not health (esp. for meat options</t>
  </si>
  <si>
    <t>Sustainability</t>
  </si>
  <si>
    <t>Flexibility of portion sizes</t>
  </si>
  <si>
    <t>More proper advertisements</t>
  </si>
  <si>
    <t xml:space="preserve">More visualization + flyers </t>
  </si>
  <si>
    <t>Opportunity for feedback like QR codes</t>
  </si>
  <si>
    <t>Transparency of food sourcing &amp; waste</t>
  </si>
  <si>
    <t>Student awarness of campus food initiatives</t>
  </si>
  <si>
    <t>Awareness of local food benefits</t>
  </si>
  <si>
    <t>Financial accsess to regional prodcuts</t>
  </si>
  <si>
    <t>Connection between students &amp; farmers</t>
  </si>
  <si>
    <t>Ease of submitting student feedback</t>
  </si>
  <si>
    <t>Student impact on decision-making</t>
  </si>
  <si>
    <t>Management of Mensa leftover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</si>
</sst>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4"/>
      <color rgb="FF000000"/>
      <name val="Arial"/>
      <family val="2"/>
    </font>
    <font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justify" vertical="center"/>
    </xf>
    <xf numFmtId="0" fontId="4" fillId="0" borderId="0" xfId="0" applyFont="1"/>
    <xf numFmtId="0" fontId="1" fillId="0" borderId="0" xfId="0" applyFont="1"/>
    <xf numFmtId="2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Consensus on Challenges and Solutions for Food Quality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Challenge Consensus Score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100" b="1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t>Only one vegan option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100" b="1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564A-4028-883B-69BD7B056188}"/>
                </c:ext>
              </c:extLst>
            </c:dLbl>
            <c:dLbl>
              <c:idx val="1"/>
              <c:layout>
                <c:manualLayout>
                  <c:x val="-1.3935340022297566E-3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Too much fried food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64A-4028-883B-69BD7B05618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Lacks</a:t>
                    </a:r>
                    <a:r>
                      <a:rPr lang="en-US" baseline="0"/>
                      <a:t> cultural variety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64A-4028-883B-69BD7B05618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Mensa plate</a:t>
                    </a:r>
                    <a:r>
                      <a:rPr lang="en-US" baseline="0"/>
                      <a:t> waste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564A-4028-883B-69BD7B05618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Fix sizes cause waste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24A1-4D20-AAE8-39223CCA809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No</a:t>
                    </a:r>
                    <a:r>
                      <a:rPr lang="en-US" baseline="0"/>
                      <a:t> info on meal impact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24A1-4D20-AAE8-39223CCA80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Sheet1!$C$2:$C$7</c:f>
              <c:strCache>
                <c:ptCount val="6"/>
                <c:pt idx="0">
                  <c:v>Availability of vegan dishes</c:v>
                </c:pt>
                <c:pt idx="1">
                  <c:v>Health &amp; oil content of meals</c:v>
                </c:pt>
                <c:pt idx="2">
                  <c:v>Cultural diversity of the menu</c:v>
                </c:pt>
                <c:pt idx="3">
                  <c:v>Management of Mensa leftover</c:v>
                </c:pt>
                <c:pt idx="4">
                  <c:v>Flexibility of portion sizes</c:v>
                </c:pt>
                <c:pt idx="5">
                  <c:v>Transparency of meal carbon footprint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 formatCode="0.00">
                  <c:v>0.66666666666666663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 formatCode="0.0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1-4D20-AAE8-39223CCA809C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Solution Consensus Score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0219131297407352E-16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Add</a:t>
                    </a:r>
                    <a:r>
                      <a:rPr lang="en-US" baseline="0"/>
                      <a:t> vegan side dishes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564A-4028-883B-69BD7B05618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Offer grilled alternatives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64A-4028-883B-69BD7B05618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Weekly "International Day"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564A-4028-883B-69BD7B05618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60592120278443451"/>
                      <c:h val="0.150883960141433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564A-4028-883B-69BD7B05618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S/M/L size options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564A-4028-883B-69BD7B05618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Add info to App or labels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24A1-4D20-AAE8-39223CCA80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Sheet1!$C$2:$C$7</c:f>
              <c:strCache>
                <c:ptCount val="6"/>
                <c:pt idx="0">
                  <c:v>Availability of vegan dishes</c:v>
                </c:pt>
                <c:pt idx="1">
                  <c:v>Health &amp; oil content of meals</c:v>
                </c:pt>
                <c:pt idx="2">
                  <c:v>Cultural diversity of the menu</c:v>
                </c:pt>
                <c:pt idx="3">
                  <c:v>Management of Mensa leftover</c:v>
                </c:pt>
                <c:pt idx="4">
                  <c:v>Flexibility of portion sizes</c:v>
                </c:pt>
                <c:pt idx="5">
                  <c:v>Transparency of meal carbon footprint</c:v>
                </c:pt>
              </c:strCache>
            </c:strRef>
          </c:cat>
          <c:val>
            <c:numRef>
              <c:f>Sheet1!$H$2:$H$7</c:f>
              <c:numCache>
                <c:formatCode>0.00</c:formatCode>
                <c:ptCount val="6"/>
                <c:pt idx="0" formatCode="General">
                  <c:v>1</c:v>
                </c:pt>
                <c:pt idx="1">
                  <c:v>0.66666666666666663</c:v>
                </c:pt>
                <c:pt idx="2">
                  <c:v>0.66666666666666663</c:v>
                </c:pt>
                <c:pt idx="3">
                  <c:v>0</c:v>
                </c:pt>
                <c:pt idx="4" formatCode="General">
                  <c:v>1</c:v>
                </c:pt>
                <c:pt idx="5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A1-4D20-AAE8-39223CCA80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14047056"/>
        <c:axId val="1414047536"/>
      </c:barChart>
      <c:catAx>
        <c:axId val="1414047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047536"/>
        <c:crosses val="autoZero"/>
        <c:auto val="1"/>
        <c:lblAlgn val="ctr"/>
        <c:lblOffset val="100"/>
        <c:noMultiLvlLbl val="0"/>
      </c:catAx>
      <c:valAx>
        <c:axId val="141404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04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Consensus on Challenges and Solutions for Food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Challenge Consensus Score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Awarness</a:t>
                    </a:r>
                    <a:r>
                      <a:rPr lang="en-US" baseline="0"/>
                      <a:t> limited to specific majors 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357E-434C-8CAB-A3C2C1875FB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Sourcing</a:t>
                    </a:r>
                    <a:r>
                      <a:rPr lang="en-US" baseline="0"/>
                      <a:t> &amp; waste process unknown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357E-434C-8CAB-A3C2C1875FB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Students</a:t>
                    </a:r>
                    <a:r>
                      <a:rPr lang="en-US" baseline="0"/>
                      <a:t> prioritize price over impact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357E-434C-8CAB-A3C2C1875FB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Local</a:t>
                    </a:r>
                    <a:r>
                      <a:rPr lang="en-US" baseline="0"/>
                      <a:t> food is too expensive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357E-434C-8CAB-A3C2C1875FB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High</a:t>
                    </a:r>
                    <a:r>
                      <a:rPr lang="en-US" baseline="0"/>
                      <a:t> r</a:t>
                    </a:r>
                    <a:r>
                      <a:rPr lang="en-US"/>
                      <a:t>eliance on budget discounter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357E-434C-8CAB-A3C2C1875FB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Current system takes too much effort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357E-434C-8CAB-A3C2C1875FB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They</a:t>
                    </a:r>
                    <a:r>
                      <a:rPr lang="en-US" baseline="0"/>
                      <a:t> feel their voice has no impcat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357E-434C-8CAB-A3C2C1875F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Sheet1!$C$8:$C$14</c:f>
              <c:strCache>
                <c:ptCount val="7"/>
                <c:pt idx="0">
                  <c:v>Student awarness of campus food initiatives</c:v>
                </c:pt>
                <c:pt idx="1">
                  <c:v>Transparency of food sourcing &amp; waste</c:v>
                </c:pt>
                <c:pt idx="2">
                  <c:v>Awareness of local food benefits</c:v>
                </c:pt>
                <c:pt idx="3">
                  <c:v>Financial accsess to regional prodcuts</c:v>
                </c:pt>
                <c:pt idx="4">
                  <c:v>Connection between students &amp; farmers</c:v>
                </c:pt>
                <c:pt idx="5">
                  <c:v>Ease of submitting student feedback</c:v>
                </c:pt>
                <c:pt idx="6">
                  <c:v>Student impact on decision-making</c:v>
                </c:pt>
              </c:strCache>
            </c:strRef>
          </c:cat>
          <c:val>
            <c:numRef>
              <c:f>Sheet1!$E$8:$E$14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 formatCode="0.00">
                  <c:v>0.66666666666666663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E-434C-8CAB-A3C2C1875FB3}"/>
            </c:ext>
          </c:extLst>
        </c:ser>
        <c:ser>
          <c:idx val="1"/>
          <c:order val="1"/>
          <c:tx>
            <c:v>Solution Consensus Score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Info event for all programs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57E-434C-8CAB-A3C2C1875FB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Use QR</a:t>
                    </a:r>
                    <a:r>
                      <a:rPr lang="en-US" baseline="0"/>
                      <a:t> code/kitchen-tour videos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357E-434C-8CAB-A3C2C1875FB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Posters highlighting local farmers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357E-434C-8CAB-A3C2C1875FB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Student</a:t>
                    </a:r>
                    <a:r>
                      <a:rPr lang="en-US" baseline="0"/>
                      <a:t> discount for local food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357E-434C-8CAB-A3C2C1875FB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Farm</a:t>
                    </a:r>
                    <a:r>
                      <a:rPr lang="en-US" baseline="0"/>
                      <a:t> shop info on Mensa/Cafeteria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357E-434C-8CAB-A3C2C1875FB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Campus wide QR code system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357E-434C-8CAB-A3C2C1875F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Sheet1!$C$8:$C$14</c:f>
              <c:strCache>
                <c:ptCount val="7"/>
                <c:pt idx="0">
                  <c:v>Student awarness of campus food initiatives</c:v>
                </c:pt>
                <c:pt idx="1">
                  <c:v>Transparency of food sourcing &amp; waste</c:v>
                </c:pt>
                <c:pt idx="2">
                  <c:v>Awareness of local food benefits</c:v>
                </c:pt>
                <c:pt idx="3">
                  <c:v>Financial accsess to regional prodcuts</c:v>
                </c:pt>
                <c:pt idx="4">
                  <c:v>Connection between students &amp; farmers</c:v>
                </c:pt>
                <c:pt idx="5">
                  <c:v>Ease of submitting student feedback</c:v>
                </c:pt>
                <c:pt idx="6">
                  <c:v>Student impact on decision-making</c:v>
                </c:pt>
              </c:strCache>
            </c:strRef>
          </c:cat>
          <c:val>
            <c:numRef>
              <c:f>Sheet1!$H$8:$H$14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 formatCode="0.00">
                  <c:v>0.66666666666666663</c:v>
                </c:pt>
                <c:pt idx="6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7E-434C-8CAB-A3C2C1875F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13397072"/>
        <c:axId val="713396112"/>
      </c:barChart>
      <c:catAx>
        <c:axId val="713397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396112"/>
        <c:crosses val="autoZero"/>
        <c:auto val="1"/>
        <c:lblAlgn val="ctr"/>
        <c:lblOffset val="100"/>
        <c:noMultiLvlLbl val="0"/>
      </c:catAx>
      <c:valAx>
        <c:axId val="71339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39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27</xdr:row>
      <xdr:rowOff>167640</xdr:rowOff>
    </xdr:from>
    <xdr:to>
      <xdr:col>4</xdr:col>
      <xdr:colOff>327660</xdr:colOff>
      <xdr:row>49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EEBD97-54CA-19BA-365C-C4E0A288C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576940</xdr:colOff>
      <xdr:row>20</xdr:row>
      <xdr:rowOff>174171</xdr:rowOff>
    </xdr:from>
    <xdr:to>
      <xdr:col>23</xdr:col>
      <xdr:colOff>478971</xdr:colOff>
      <xdr:row>54</xdr:row>
      <xdr:rowOff>179450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CFF32C-7718-06DF-4BE2-A00512D79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ra Arjmandnia" id="{FD695611-08B1-41BA-BB63-F2143D5DAD9E}" userId="fa90e5142d3d292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" dT="2026-02-23T18:47:26.30" personId="{FD695611-08B1-41BA-BB63-F2143D5DAD9E}" id="{D211B58A-503B-49B1-972C-2342E9E69861}">
    <text>Diff Idea = 0</text>
  </threadedComment>
  <threadedComment ref="G14" dT="2026-02-23T18:49:11.98" personId="{FD695611-08B1-41BA-BB63-F2143D5DAD9E}" id="{5E680005-E217-4E04-9C91-4F8F0094A14C}">
    <text>Diff idea = 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46BD-431F-407E-9063-7EF990CFDDD2}">
  <dimension ref="A1:L27"/>
  <sheetViews>
    <sheetView tabSelected="1" topLeftCell="D21" zoomScale="70" zoomScaleNormal="70" workbookViewId="0">
      <selection activeCell="D55" sqref="D55"/>
    </sheetView>
  </sheetViews>
  <sheetFormatPr defaultRowHeight="14.4" x14ac:dyDescent="0.3"/>
  <cols>
    <col min="1" max="1" width="88.77734375" customWidth="1"/>
    <col min="2" max="2" width="15.33203125" customWidth="1"/>
    <col min="3" max="3" width="39" customWidth="1"/>
    <col min="4" max="4" width="12.88671875" customWidth="1"/>
    <col min="5" max="5" width="17.44140625" customWidth="1"/>
    <col min="6" max="6" width="16.33203125" customWidth="1"/>
    <col min="7" max="7" width="11.5546875" customWidth="1"/>
    <col min="8" max="8" width="11.88671875" customWidth="1"/>
    <col min="9" max="9" width="41.33203125" customWidth="1"/>
  </cols>
  <sheetData>
    <row r="1" spans="1:12" ht="33.6" x14ac:dyDescent="0.65">
      <c r="A1" s="3" t="s">
        <v>0</v>
      </c>
      <c r="B1" s="4" t="s">
        <v>33</v>
      </c>
      <c r="C1" s="4" t="s">
        <v>40</v>
      </c>
      <c r="D1" s="4" t="s">
        <v>14</v>
      </c>
      <c r="E1" s="4" t="s">
        <v>41</v>
      </c>
      <c r="F1" t="s">
        <v>16</v>
      </c>
      <c r="G1" s="4" t="s">
        <v>15</v>
      </c>
      <c r="H1" s="4" t="s">
        <v>42</v>
      </c>
      <c r="I1" t="s">
        <v>16</v>
      </c>
      <c r="J1" s="4"/>
      <c r="K1" s="4"/>
      <c r="L1" s="4"/>
    </row>
    <row r="2" spans="1:12" x14ac:dyDescent="0.3">
      <c r="A2" s="2" t="s">
        <v>1</v>
      </c>
      <c r="B2" t="s">
        <v>37</v>
      </c>
      <c r="C2" t="s">
        <v>52</v>
      </c>
      <c r="D2">
        <v>2</v>
      </c>
      <c r="E2" s="5">
        <f t="shared" ref="E2:E14" si="0">D2/3</f>
        <v>0.66666666666666663</v>
      </c>
      <c r="F2" t="s">
        <v>21</v>
      </c>
      <c r="G2">
        <v>3</v>
      </c>
      <c r="H2">
        <f t="shared" ref="H2:H14" si="1">G2/3</f>
        <v>1</v>
      </c>
      <c r="I2" t="s">
        <v>53</v>
      </c>
    </row>
    <row r="3" spans="1:12" x14ac:dyDescent="0.3">
      <c r="A3" s="2" t="s">
        <v>2</v>
      </c>
      <c r="B3" t="s">
        <v>37</v>
      </c>
      <c r="C3" t="s">
        <v>54</v>
      </c>
      <c r="D3">
        <v>3</v>
      </c>
      <c r="E3">
        <f t="shared" si="0"/>
        <v>1</v>
      </c>
      <c r="F3" t="s">
        <v>55</v>
      </c>
      <c r="G3">
        <v>2</v>
      </c>
      <c r="H3" s="5">
        <f t="shared" si="1"/>
        <v>0.66666666666666663</v>
      </c>
      <c r="I3" t="s">
        <v>27</v>
      </c>
    </row>
    <row r="4" spans="1:12" x14ac:dyDescent="0.3">
      <c r="A4" s="2" t="s">
        <v>3</v>
      </c>
      <c r="B4" t="s">
        <v>37</v>
      </c>
      <c r="C4" t="s">
        <v>50</v>
      </c>
      <c r="D4">
        <v>3</v>
      </c>
      <c r="E4">
        <f t="shared" si="0"/>
        <v>1</v>
      </c>
      <c r="F4" t="s">
        <v>20</v>
      </c>
      <c r="G4">
        <v>2</v>
      </c>
      <c r="H4" s="5">
        <f t="shared" si="1"/>
        <v>0.66666666666666663</v>
      </c>
      <c r="I4" t="s">
        <v>28</v>
      </c>
    </row>
    <row r="5" spans="1:12" x14ac:dyDescent="0.3">
      <c r="A5" s="2" t="s">
        <v>4</v>
      </c>
      <c r="B5" t="s">
        <v>56</v>
      </c>
      <c r="C5" t="s">
        <v>68</v>
      </c>
      <c r="D5">
        <v>3</v>
      </c>
      <c r="E5">
        <f t="shared" si="0"/>
        <v>1</v>
      </c>
      <c r="F5" t="s">
        <v>19</v>
      </c>
      <c r="G5">
        <v>0</v>
      </c>
      <c r="H5" s="5">
        <f t="shared" si="1"/>
        <v>0</v>
      </c>
    </row>
    <row r="6" spans="1:12" x14ac:dyDescent="0.3">
      <c r="A6" s="2" t="s">
        <v>5</v>
      </c>
      <c r="B6" t="s">
        <v>56</v>
      </c>
      <c r="C6" t="s">
        <v>57</v>
      </c>
      <c r="D6">
        <v>3</v>
      </c>
      <c r="E6">
        <f t="shared" si="0"/>
        <v>1</v>
      </c>
      <c r="F6" t="s">
        <v>18</v>
      </c>
      <c r="G6">
        <v>3</v>
      </c>
      <c r="H6">
        <f t="shared" si="1"/>
        <v>1</v>
      </c>
      <c r="I6" t="s">
        <v>29</v>
      </c>
    </row>
    <row r="7" spans="1:12" x14ac:dyDescent="0.3">
      <c r="A7" s="2" t="s">
        <v>6</v>
      </c>
      <c r="B7" t="s">
        <v>56</v>
      </c>
      <c r="C7" t="s">
        <v>51</v>
      </c>
      <c r="D7">
        <v>2</v>
      </c>
      <c r="E7" s="5">
        <f t="shared" si="0"/>
        <v>0.66666666666666663</v>
      </c>
      <c r="F7" t="s">
        <v>17</v>
      </c>
      <c r="G7">
        <v>2</v>
      </c>
      <c r="H7" s="5">
        <f t="shared" si="1"/>
        <v>0.66666666666666663</v>
      </c>
      <c r="I7" t="s">
        <v>30</v>
      </c>
    </row>
    <row r="8" spans="1:12" x14ac:dyDescent="0.3">
      <c r="A8" s="1" t="s">
        <v>7</v>
      </c>
      <c r="B8" t="s">
        <v>35</v>
      </c>
      <c r="C8" t="s">
        <v>62</v>
      </c>
      <c r="D8">
        <v>3</v>
      </c>
      <c r="E8">
        <f t="shared" si="0"/>
        <v>1</v>
      </c>
      <c r="F8" t="s">
        <v>22</v>
      </c>
      <c r="G8">
        <v>3</v>
      </c>
      <c r="H8">
        <f t="shared" si="1"/>
        <v>1</v>
      </c>
      <c r="I8" t="s">
        <v>58</v>
      </c>
    </row>
    <row r="9" spans="1:12" x14ac:dyDescent="0.3">
      <c r="A9" s="2" t="s">
        <v>8</v>
      </c>
      <c r="B9" t="s">
        <v>35</v>
      </c>
      <c r="C9" t="s">
        <v>61</v>
      </c>
      <c r="D9">
        <v>3</v>
      </c>
      <c r="E9">
        <f t="shared" si="0"/>
        <v>1</v>
      </c>
      <c r="F9" t="s">
        <v>23</v>
      </c>
      <c r="G9">
        <v>3</v>
      </c>
      <c r="H9">
        <f t="shared" si="1"/>
        <v>1</v>
      </c>
      <c r="I9" t="s">
        <v>59</v>
      </c>
    </row>
    <row r="10" spans="1:12" x14ac:dyDescent="0.3">
      <c r="A10" s="1" t="s">
        <v>9</v>
      </c>
      <c r="B10" t="s">
        <v>34</v>
      </c>
      <c r="C10" t="s">
        <v>63</v>
      </c>
      <c r="D10">
        <v>2</v>
      </c>
      <c r="E10" s="5">
        <f t="shared" si="0"/>
        <v>0.66666666666666663</v>
      </c>
      <c r="F10" t="s">
        <v>20</v>
      </c>
      <c r="G10">
        <v>3</v>
      </c>
      <c r="H10">
        <f t="shared" si="1"/>
        <v>1</v>
      </c>
      <c r="I10" t="s">
        <v>59</v>
      </c>
    </row>
    <row r="11" spans="1:12" x14ac:dyDescent="0.3">
      <c r="A11" s="1" t="s">
        <v>10</v>
      </c>
      <c r="B11" t="s">
        <v>34</v>
      </c>
      <c r="C11" t="s">
        <v>64</v>
      </c>
      <c r="D11">
        <v>3</v>
      </c>
      <c r="E11">
        <f t="shared" si="0"/>
        <v>1</v>
      </c>
      <c r="F11" t="s">
        <v>24</v>
      </c>
      <c r="G11">
        <v>3</v>
      </c>
      <c r="H11">
        <f t="shared" si="1"/>
        <v>1</v>
      </c>
      <c r="I11" t="s">
        <v>31</v>
      </c>
    </row>
    <row r="12" spans="1:12" x14ac:dyDescent="0.3">
      <c r="A12" s="2" t="s">
        <v>11</v>
      </c>
      <c r="B12" t="s">
        <v>34</v>
      </c>
      <c r="C12" t="s">
        <v>65</v>
      </c>
      <c r="D12">
        <v>3</v>
      </c>
      <c r="E12">
        <f t="shared" si="0"/>
        <v>1</v>
      </c>
      <c r="F12" t="s">
        <v>20</v>
      </c>
      <c r="G12">
        <v>3</v>
      </c>
      <c r="H12">
        <f t="shared" si="1"/>
        <v>1</v>
      </c>
      <c r="I12" t="s">
        <v>32</v>
      </c>
    </row>
    <row r="13" spans="1:12" x14ac:dyDescent="0.3">
      <c r="A13" s="1" t="s">
        <v>12</v>
      </c>
      <c r="B13" t="s">
        <v>36</v>
      </c>
      <c r="C13" t="s">
        <v>66</v>
      </c>
      <c r="D13">
        <v>3</v>
      </c>
      <c r="E13">
        <f t="shared" si="0"/>
        <v>1</v>
      </c>
      <c r="F13" t="s">
        <v>25</v>
      </c>
      <c r="G13">
        <v>2</v>
      </c>
      <c r="H13" s="5">
        <f t="shared" si="1"/>
        <v>0.66666666666666663</v>
      </c>
      <c r="I13" t="s">
        <v>60</v>
      </c>
    </row>
    <row r="14" spans="1:12" x14ac:dyDescent="0.3">
      <c r="A14" s="1" t="s">
        <v>13</v>
      </c>
      <c r="B14" t="s">
        <v>36</v>
      </c>
      <c r="C14" t="s">
        <v>67</v>
      </c>
      <c r="D14">
        <v>3</v>
      </c>
      <c r="E14">
        <f t="shared" si="0"/>
        <v>1</v>
      </c>
      <c r="F14" t="s">
        <v>26</v>
      </c>
      <c r="G14">
        <v>0</v>
      </c>
      <c r="H14" s="5">
        <f t="shared" si="1"/>
        <v>0</v>
      </c>
    </row>
    <row r="15" spans="1:12" ht="15" thickBot="1" x14ac:dyDescent="0.35"/>
    <row r="16" spans="1:12" x14ac:dyDescent="0.3">
      <c r="A16" s="6" t="s">
        <v>38</v>
      </c>
    </row>
    <row r="17" spans="1:1" x14ac:dyDescent="0.3">
      <c r="A17" s="7" t="s">
        <v>39</v>
      </c>
    </row>
    <row r="18" spans="1:1" ht="15" thickBot="1" x14ac:dyDescent="0.35">
      <c r="A18" s="8" t="s">
        <v>49</v>
      </c>
    </row>
    <row r="19" spans="1:1" ht="15" thickBot="1" x14ac:dyDescent="0.35"/>
    <row r="20" spans="1:1" x14ac:dyDescent="0.3">
      <c r="A20" s="9" t="s">
        <v>43</v>
      </c>
    </row>
    <row r="21" spans="1:1" x14ac:dyDescent="0.3">
      <c r="A21" s="10" t="s">
        <v>44</v>
      </c>
    </row>
    <row r="22" spans="1:1" x14ac:dyDescent="0.3">
      <c r="A22" s="10"/>
    </row>
    <row r="23" spans="1:1" x14ac:dyDescent="0.3">
      <c r="A23" s="10" t="s">
        <v>45</v>
      </c>
    </row>
    <row r="24" spans="1:1" x14ac:dyDescent="0.3">
      <c r="A24" s="10" t="s">
        <v>46</v>
      </c>
    </row>
    <row r="25" spans="1:1" x14ac:dyDescent="0.3">
      <c r="A25" s="10"/>
    </row>
    <row r="26" spans="1:1" x14ac:dyDescent="0.3">
      <c r="A26" s="10" t="s">
        <v>47</v>
      </c>
    </row>
    <row r="27" spans="1:1" ht="15" thickBot="1" x14ac:dyDescent="0.35">
      <c r="A27" s="11" t="s">
        <v>48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Arjmandnia</dc:creator>
  <cp:lastModifiedBy>Sara Arjmandnia</cp:lastModifiedBy>
  <dcterms:created xsi:type="dcterms:W3CDTF">2026-02-22T14:20:34Z</dcterms:created>
  <dcterms:modified xsi:type="dcterms:W3CDTF">2026-02-25T18:08:06Z</dcterms:modified>
</cp:coreProperties>
</file>